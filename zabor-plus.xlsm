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20" yWindow="105" windowWidth="38295" windowHeight="12525"/>
  </bookViews>
  <sheets>
    <sheet name="Лист1" sheetId="1" r:id="rId1"/>
    <sheet name="Лист2" sheetId="2" r:id="rId2"/>
    <sheet name="Лист3" sheetId="3" r:id="rId3"/>
  </sheets>
  <calcPr calcId="124519"/>
</workbook>
</file>

<file path=xl/calcChain.xml><?xml version="1.0" encoding="utf-8"?>
<calcChain xmlns="http://schemas.openxmlformats.org/spreadsheetml/2006/main">
  <c r="X4" i="1"/>
  <c r="X5"/>
  <c r="X6"/>
  <c r="X7"/>
  <c r="X8"/>
  <c r="X9"/>
  <c r="X10"/>
  <c r="X11"/>
  <c r="X12"/>
  <c r="T5"/>
  <c r="U5"/>
  <c r="V5" s="1"/>
  <c r="T6"/>
  <c r="U6" s="1"/>
  <c r="V6" s="1"/>
  <c r="T7"/>
  <c r="U7" s="1"/>
  <c r="V7" s="1"/>
  <c r="T8"/>
  <c r="U8" s="1"/>
  <c r="V8" s="1"/>
  <c r="T9"/>
  <c r="U9"/>
  <c r="V9" s="1"/>
  <c r="T10"/>
  <c r="U10" s="1"/>
  <c r="V10" s="1"/>
  <c r="T11"/>
  <c r="U11" s="1"/>
  <c r="V11" s="1"/>
  <c r="T12"/>
  <c r="U12" s="1"/>
  <c r="V12" s="1"/>
  <c r="V4"/>
  <c r="U4"/>
  <c r="T4"/>
  <c r="P4"/>
  <c r="P5"/>
  <c r="P6"/>
  <c r="P7"/>
  <c r="P8"/>
  <c r="P9"/>
  <c r="P10"/>
  <c r="P11"/>
  <c r="P12"/>
  <c r="J17"/>
  <c r="H12"/>
  <c r="N5" s="1"/>
  <c r="N8" l="1"/>
  <c r="N9"/>
  <c r="L9" s="1"/>
  <c r="R9" s="1"/>
  <c r="N12"/>
  <c r="L12" s="1"/>
  <c r="R12" s="1"/>
  <c r="N4"/>
  <c r="L8"/>
  <c r="R8" s="1"/>
  <c r="N10"/>
  <c r="L10" s="1"/>
  <c r="R10" s="1"/>
  <c r="N6"/>
  <c r="L6" s="1"/>
  <c r="R6" s="1"/>
  <c r="N11"/>
  <c r="L11" s="1"/>
  <c r="R11" s="1"/>
  <c r="N7"/>
  <c r="L4"/>
  <c r="R4" s="1"/>
  <c r="L5"/>
  <c r="R5" s="1"/>
  <c r="L7"/>
  <c r="R7" s="1"/>
  <c r="L16" l="1"/>
  <c r="N16" s="1"/>
</calcChain>
</file>

<file path=xl/sharedStrings.xml><?xml version="1.0" encoding="utf-8"?>
<sst xmlns="http://schemas.openxmlformats.org/spreadsheetml/2006/main" count="27" uniqueCount="24">
  <si>
    <t>Ширина всіх секцій</t>
  </si>
  <si>
    <t>вказано у см</t>
  </si>
  <si>
    <t>Ширина штафети</t>
  </si>
  <si>
    <t>Кількість штафет</t>
  </si>
  <si>
    <t>штук на секцію</t>
  </si>
  <si>
    <t>Відстань між штафетами</t>
  </si>
  <si>
    <t>Ширина штафети +</t>
  </si>
  <si>
    <t>відстань між ними</t>
  </si>
  <si>
    <t>Загальна кількість</t>
  </si>
  <si>
    <t>штук</t>
  </si>
  <si>
    <t>Не ціла кількість штафет</t>
  </si>
  <si>
    <t>Вартість штафети</t>
  </si>
  <si>
    <t>грн</t>
  </si>
  <si>
    <t>Загальна вартість</t>
  </si>
  <si>
    <t>грн за 1 метр</t>
  </si>
  <si>
    <t>Висота штафети</t>
  </si>
  <si>
    <t>см</t>
  </si>
  <si>
    <t>від штафети до стовпа</t>
  </si>
  <si>
    <t>Відстань що залигається на другому кінці</t>
  </si>
  <si>
    <t>Загальна ширини</t>
  </si>
  <si>
    <t>штафети + відстань між ними</t>
  </si>
  <si>
    <t>Розрахункова відстань між</t>
  </si>
  <si>
    <t>штафетами, см</t>
  </si>
  <si>
    <t>Перевірка розрахунків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</si>
</sst>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0" borderId="0" xfId="0" applyNumberFormat="1"/>
    <xf numFmtId="0" fontId="0" fillId="2" borderId="0" xfId="0" applyFill="1"/>
    <xf numFmtId="0" fontId="0" fillId="3" borderId="0" xfId="0" applyFill="1"/>
    <xf numFmtId="2" fontId="1" fillId="4" borderId="0" xfId="0" applyNumberFormat="1" applyFont="1" applyFill="1"/>
    <xf numFmtId="0" fontId="1" fillId="4" borderId="0" xfId="0" applyFont="1" applyFill="1"/>
    <xf numFmtId="2" fontId="1" fillId="5" borderId="0" xfId="0" applyNumberFormat="1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9" borderId="0" xfId="0" applyFill="1"/>
    <xf numFmtId="0" fontId="1" fillId="10" borderId="0" xfId="0" applyFont="1" applyFill="1"/>
    <xf numFmtId="0" fontId="1" fillId="11" borderId="0" xfId="0" applyFont="1" applyFill="1"/>
    <xf numFmtId="0" fontId="1" fillId="5" borderId="0" xfId="0" applyFont="1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H2:X17"/>
  <sheetViews>
    <sheetView tabSelected="1" workbookViewId="0">
      <selection activeCell="K26" sqref="K26"/>
    </sheetView>
  </sheetViews>
  <sheetFormatPr defaultRowHeight="15"/>
  <cols>
    <col min="8" max="8" width="23.7109375" bestFit="1" customWidth="1"/>
    <col min="10" max="10" width="18.85546875" bestFit="1" customWidth="1"/>
    <col min="12" max="12" width="17.7109375" bestFit="1" customWidth="1"/>
    <col min="14" max="14" width="23.7109375" bestFit="1" customWidth="1"/>
    <col min="16" max="16" width="28" bestFit="1" customWidth="1"/>
    <col min="18" max="18" width="39.28515625" bestFit="1" customWidth="1"/>
    <col min="22" max="22" width="26" bestFit="1" customWidth="1"/>
    <col min="24" max="24" width="22.28515625" bestFit="1" customWidth="1"/>
  </cols>
  <sheetData>
    <row r="2" spans="8:24">
      <c r="H2" s="3" t="s">
        <v>2</v>
      </c>
      <c r="J2" s="2" t="s">
        <v>0</v>
      </c>
      <c r="L2" s="4" t="s">
        <v>3</v>
      </c>
      <c r="N2" s="7" t="s">
        <v>10</v>
      </c>
      <c r="P2" s="11" t="s">
        <v>19</v>
      </c>
      <c r="R2" s="5" t="s">
        <v>18</v>
      </c>
      <c r="V2" s="12" t="s">
        <v>21</v>
      </c>
      <c r="X2" s="13" t="s">
        <v>23</v>
      </c>
    </row>
    <row r="3" spans="8:24">
      <c r="H3" s="3" t="s">
        <v>1</v>
      </c>
      <c r="J3" s="2" t="s">
        <v>1</v>
      </c>
      <c r="L3" s="4" t="s">
        <v>4</v>
      </c>
      <c r="N3" s="7" t="s">
        <v>9</v>
      </c>
      <c r="P3" s="11" t="s">
        <v>20</v>
      </c>
      <c r="R3" s="5" t="s">
        <v>17</v>
      </c>
      <c r="V3" s="12" t="s">
        <v>22</v>
      </c>
      <c r="X3" s="13"/>
    </row>
    <row r="4" spans="8:24">
      <c r="H4" s="1">
        <v>11.5</v>
      </c>
      <c r="J4" s="1">
        <v>264</v>
      </c>
      <c r="L4">
        <f>FLOOR(N4,1)</f>
        <v>20</v>
      </c>
      <c r="N4">
        <f>(J4 - $H$8)/$H$12</f>
        <v>20.192307692307693</v>
      </c>
      <c r="P4">
        <f>L4*$H$12+$H$8</f>
        <v>261.5</v>
      </c>
      <c r="R4" s="1">
        <f>J4-P4</f>
        <v>2.5</v>
      </c>
      <c r="T4">
        <f>L4*$H$4</f>
        <v>230</v>
      </c>
      <c r="U4" s="1">
        <f>J4-T4</f>
        <v>34</v>
      </c>
      <c r="V4">
        <f>U4/(L4+1)</f>
        <v>1.6190476190476191</v>
      </c>
      <c r="X4" s="1">
        <f t="shared" ref="X4:X11" si="0">L4*($H$4+V4)+V4</f>
        <v>263.99999999999994</v>
      </c>
    </row>
    <row r="5" spans="8:24">
      <c r="H5" s="1"/>
      <c r="J5" s="1">
        <v>257</v>
      </c>
      <c r="L5">
        <f t="shared" ref="L5:L12" si="1">FLOOR(N5,1)</f>
        <v>19</v>
      </c>
      <c r="N5">
        <f t="shared" ref="N5:N12" si="2">(J5 - $H$8)/$H$12</f>
        <v>19.653846153846153</v>
      </c>
      <c r="P5">
        <f t="shared" ref="P5:P12" si="3">L5*$H$12+$H$8</f>
        <v>248.5</v>
      </c>
      <c r="R5" s="1">
        <f t="shared" ref="R5:R12" si="4">J5-P5</f>
        <v>8.5</v>
      </c>
      <c r="T5">
        <f t="shared" ref="T5:T12" si="5">L5*$H$4</f>
        <v>218.5</v>
      </c>
      <c r="U5" s="1">
        <f t="shared" ref="U5:U12" si="6">J5-T5</f>
        <v>38.5</v>
      </c>
      <c r="V5">
        <f t="shared" ref="V5:V12" si="7">U5/(L5+1)</f>
        <v>1.925</v>
      </c>
      <c r="X5" s="1">
        <f t="shared" si="0"/>
        <v>257</v>
      </c>
    </row>
    <row r="6" spans="8:24">
      <c r="H6" s="4" t="s">
        <v>5</v>
      </c>
      <c r="J6" s="1">
        <v>257</v>
      </c>
      <c r="L6">
        <f t="shared" si="1"/>
        <v>19</v>
      </c>
      <c r="N6">
        <f t="shared" si="2"/>
        <v>19.653846153846153</v>
      </c>
      <c r="P6">
        <f t="shared" si="3"/>
        <v>248.5</v>
      </c>
      <c r="R6" s="1">
        <f t="shared" si="4"/>
        <v>8.5</v>
      </c>
      <c r="T6">
        <f t="shared" si="5"/>
        <v>218.5</v>
      </c>
      <c r="U6" s="1">
        <f t="shared" si="6"/>
        <v>38.5</v>
      </c>
      <c r="V6">
        <f t="shared" si="7"/>
        <v>1.925</v>
      </c>
      <c r="X6" s="1">
        <f t="shared" si="0"/>
        <v>257</v>
      </c>
    </row>
    <row r="7" spans="8:24">
      <c r="H7" s="5" t="s">
        <v>1</v>
      </c>
      <c r="J7" s="1">
        <v>258</v>
      </c>
      <c r="L7">
        <f t="shared" si="1"/>
        <v>19</v>
      </c>
      <c r="N7">
        <f t="shared" si="2"/>
        <v>19.73076923076923</v>
      </c>
      <c r="P7">
        <f t="shared" si="3"/>
        <v>248.5</v>
      </c>
      <c r="R7" s="1">
        <f t="shared" si="4"/>
        <v>9.5</v>
      </c>
      <c r="T7">
        <f t="shared" si="5"/>
        <v>218.5</v>
      </c>
      <c r="U7" s="1">
        <f t="shared" si="6"/>
        <v>39.5</v>
      </c>
      <c r="V7">
        <f t="shared" si="7"/>
        <v>1.9750000000000001</v>
      </c>
      <c r="X7" s="1">
        <f t="shared" si="0"/>
        <v>258</v>
      </c>
    </row>
    <row r="8" spans="8:24">
      <c r="H8" s="1">
        <v>1.5</v>
      </c>
      <c r="J8" s="1">
        <v>259</v>
      </c>
      <c r="L8">
        <f t="shared" si="1"/>
        <v>19</v>
      </c>
      <c r="N8">
        <f t="shared" si="2"/>
        <v>19.807692307692307</v>
      </c>
      <c r="P8">
        <f t="shared" si="3"/>
        <v>248.5</v>
      </c>
      <c r="R8" s="1">
        <f t="shared" si="4"/>
        <v>10.5</v>
      </c>
      <c r="T8">
        <f t="shared" si="5"/>
        <v>218.5</v>
      </c>
      <c r="U8" s="1">
        <f t="shared" si="6"/>
        <v>40.5</v>
      </c>
      <c r="V8">
        <f t="shared" si="7"/>
        <v>2.0249999999999999</v>
      </c>
      <c r="X8" s="1">
        <f t="shared" si="0"/>
        <v>259</v>
      </c>
    </row>
    <row r="9" spans="8:24">
      <c r="H9" s="1"/>
      <c r="J9" s="1">
        <v>258</v>
      </c>
      <c r="L9">
        <f t="shared" si="1"/>
        <v>19</v>
      </c>
      <c r="N9">
        <f t="shared" si="2"/>
        <v>19.73076923076923</v>
      </c>
      <c r="P9">
        <f t="shared" si="3"/>
        <v>248.5</v>
      </c>
      <c r="R9" s="1">
        <f t="shared" si="4"/>
        <v>9.5</v>
      </c>
      <c r="T9">
        <f t="shared" si="5"/>
        <v>218.5</v>
      </c>
      <c r="U9" s="1">
        <f t="shared" si="6"/>
        <v>39.5</v>
      </c>
      <c r="V9">
        <f t="shared" si="7"/>
        <v>1.9750000000000001</v>
      </c>
      <c r="X9" s="1">
        <f t="shared" si="0"/>
        <v>258</v>
      </c>
    </row>
    <row r="10" spans="8:24">
      <c r="H10" s="6" t="s">
        <v>6</v>
      </c>
      <c r="J10" s="1">
        <v>258</v>
      </c>
      <c r="L10">
        <f t="shared" si="1"/>
        <v>19</v>
      </c>
      <c r="N10">
        <f t="shared" si="2"/>
        <v>19.73076923076923</v>
      </c>
      <c r="P10">
        <f t="shared" si="3"/>
        <v>248.5</v>
      </c>
      <c r="R10" s="1">
        <f t="shared" si="4"/>
        <v>9.5</v>
      </c>
      <c r="T10">
        <f t="shared" si="5"/>
        <v>218.5</v>
      </c>
      <c r="U10" s="1">
        <f t="shared" si="6"/>
        <v>39.5</v>
      </c>
      <c r="V10">
        <f t="shared" si="7"/>
        <v>1.9750000000000001</v>
      </c>
      <c r="X10" s="1">
        <f t="shared" si="0"/>
        <v>258</v>
      </c>
    </row>
    <row r="11" spans="8:24">
      <c r="H11" s="6" t="s">
        <v>7</v>
      </c>
      <c r="J11" s="1">
        <v>174</v>
      </c>
      <c r="L11">
        <f t="shared" si="1"/>
        <v>13</v>
      </c>
      <c r="N11">
        <f t="shared" si="2"/>
        <v>13.26923076923077</v>
      </c>
      <c r="P11">
        <f t="shared" si="3"/>
        <v>170.5</v>
      </c>
      <c r="R11" s="1">
        <f t="shared" si="4"/>
        <v>3.5</v>
      </c>
      <c r="T11">
        <f t="shared" si="5"/>
        <v>149.5</v>
      </c>
      <c r="U11" s="1">
        <f t="shared" si="6"/>
        <v>24.5</v>
      </c>
      <c r="V11">
        <f t="shared" si="7"/>
        <v>1.75</v>
      </c>
      <c r="X11" s="1">
        <f t="shared" si="0"/>
        <v>174</v>
      </c>
    </row>
    <row r="12" spans="8:24">
      <c r="H12" s="1">
        <f>H8+H4</f>
        <v>13</v>
      </c>
      <c r="J12" s="1">
        <v>90</v>
      </c>
      <c r="L12">
        <f t="shared" si="1"/>
        <v>6</v>
      </c>
      <c r="N12">
        <f t="shared" si="2"/>
        <v>6.8076923076923075</v>
      </c>
      <c r="P12">
        <f t="shared" si="3"/>
        <v>79.5</v>
      </c>
      <c r="R12" s="1">
        <f t="shared" si="4"/>
        <v>10.5</v>
      </c>
      <c r="T12">
        <f t="shared" si="5"/>
        <v>69</v>
      </c>
      <c r="U12" s="1">
        <f t="shared" si="6"/>
        <v>21</v>
      </c>
      <c r="V12">
        <f t="shared" si="7"/>
        <v>3</v>
      </c>
      <c r="X12" s="1">
        <f>L12*($H$4+V12)+V12</f>
        <v>90</v>
      </c>
    </row>
    <row r="14" spans="8:24">
      <c r="H14" s="3" t="s">
        <v>15</v>
      </c>
      <c r="J14" s="9" t="s">
        <v>11</v>
      </c>
      <c r="L14" s="8" t="s">
        <v>8</v>
      </c>
      <c r="N14" s="10" t="s">
        <v>13</v>
      </c>
    </row>
    <row r="15" spans="8:24">
      <c r="H15" s="3" t="s">
        <v>16</v>
      </c>
      <c r="J15" s="9" t="s">
        <v>14</v>
      </c>
      <c r="L15" s="8" t="s">
        <v>9</v>
      </c>
      <c r="N15" s="10" t="s">
        <v>12</v>
      </c>
    </row>
    <row r="16" spans="8:24">
      <c r="H16">
        <v>1.7</v>
      </c>
      <c r="J16" s="1">
        <v>53</v>
      </c>
      <c r="L16">
        <f>SUM(L4:L12)</f>
        <v>153</v>
      </c>
      <c r="N16" s="1">
        <f>J16*L16*H16</f>
        <v>13785.3</v>
      </c>
    </row>
    <row r="17" spans="10:10">
      <c r="J17">
        <f>J16*H16</f>
        <v>90.1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Вадим</dc:creator>
  <cp:lastModifiedBy>Вадим</cp:lastModifiedBy>
  <dcterms:created xsi:type="dcterms:W3CDTF">2021-07-22T15:35:15Z</dcterms:created>
  <dcterms:modified xsi:type="dcterms:W3CDTF">2021-07-22T17:05:19Z</dcterms:modified>
</cp:coreProperties>
</file>